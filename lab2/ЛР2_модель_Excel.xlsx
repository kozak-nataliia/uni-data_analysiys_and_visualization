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Home\Natalya\University\Data\Labs\lab2\"/>
    </mc:Choice>
  </mc:AlternateContent>
  <xr:revisionPtr revIDLastSave="0" documentId="13_ncr:1_{D5285050-B0EF-4874-A94E-4EC5FDFC6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віт про стійкість 1" sheetId="2" r:id="rId1"/>
    <sheet name="Модель" sheetId="1" r:id="rId2"/>
  </sheets>
  <definedNames>
    <definedName name="solver_adj" localSheetId="1" hidden="1">Модель!$C$7:$F$7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Модель!$G$14:$G$18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Модель!$C$9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hs1" localSheetId="1" hidden="1">Модель!$I$14:$I$18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81029"/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C9" i="1"/>
</calcChain>
</file>

<file path=xl/sharedStrings.xml><?xml version="1.0" encoding="utf-8"?>
<sst xmlns="http://schemas.openxmlformats.org/spreadsheetml/2006/main" count="75" uniqueCount="57">
  <si>
    <t>«Longer Boats» — виробнича задача (варіант 6). Модель для Пошуку рішення (Solver)</t>
  </si>
  <si>
    <t>Виріб</t>
  </si>
  <si>
    <t>Sting</t>
  </si>
  <si>
    <t>Ray</t>
  </si>
  <si>
    <t>Breaker</t>
  </si>
  <si>
    <t>Marlin</t>
  </si>
  <si>
    <t>Прибуток з одиниці</t>
  </si>
  <si>
    <t>План випуску (x)</t>
  </si>
  <si>
    <t>Цільова функція (прибуток), Z</t>
  </si>
  <si>
    <t>Обмеження за ресурсами</t>
  </si>
  <si>
    <t>Ресурс</t>
  </si>
  <si>
    <t>Витрачено</t>
  </si>
  <si>
    <t>Знак</t>
  </si>
  <si>
    <t>Запас</t>
  </si>
  <si>
    <t>Склопластик, м²</t>
  </si>
  <si>
    <t>&lt;=</t>
  </si>
  <si>
    <t>Столярний цех, год</t>
  </si>
  <si>
    <t>Фарбувальний цех, год</t>
  </si>
  <si>
    <t>Такелаж, компл.</t>
  </si>
  <si>
    <t>Ділянка добудови, год</t>
  </si>
  <si>
    <t>Microsoft Excel 16.0 Звіт про стійкість</t>
  </si>
  <si>
    <t>Аркуш: [ЛР2_модель_Excel.xlsx]Модель</t>
  </si>
  <si>
    <t>Звіт створено: 9/29/2026 5:22:42 PM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</si>
  <si>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</si>
  <si>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</si>
  <si>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</si>
  <si>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</si>
  <si>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</si>
  <si>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</si>
  <si>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</si>
  <si>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</si>
  <si>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</si>
  <si>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</si>
  <si>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</si>
  <si>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</si>
  <si>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</si>
  <si>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</si>
  <si>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</si>
  <si>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</si>
  <si>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$C$7</t>
  </si>
  <si>
    <t>План випуску (x) Sting</t>
  </si>
  <si>
    <t>$D$7</t>
  </si>
  <si>
    <t>План випуску (x) Ray</t>
  </si>
  <si>
    <t>$E$7</t>
  </si>
  <si>
    <t>План випуску (x) Breaker</t>
  </si>
  <si>
    <t>$F$7</t>
  </si>
  <si>
    <t>План випуску (x) Marlin</t>
  </si>
  <si>
    <t>$G$14</t>
  </si>
  <si>
    <t>Склопластик, м² Витрачено</t>
  </si>
  <si>
    <t>$G$15</t>
  </si>
  <si>
    <t>Столярний цех, год Витрачено</t>
  </si>
  <si>
    <t>$G$16</t>
  </si>
  <si>
    <t>Фарбувальний цех, год Витрачено</t>
  </si>
  <si>
    <t>$G$17</t>
  </si>
  <si>
    <t>Такелаж, компл. Витрачено</t>
  </si>
  <si>
    <t>$G$18</t>
  </si>
  <si>
    <t>Ділянка добудови, год Витрачено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</si>
</sst>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name val="Arial"/>
      <family val="2"/>
      <charset val="204"/>
    </font>
    <font>
      <i/>
      <sz val="9"/>
      <color rgb="FF80808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0" fillId="0" borderId="4" xfId="0" applyBorder="1"/>
    <xf numFmtId="0" fontId="0" fillId="0" borderId="5" xfId="0" applyBorder="1"/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7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0</xdr:row>
      <xdr:rowOff>171450</xdr:rowOff>
    </xdr:from>
    <xdr:to>
      <xdr:col>16</xdr:col>
      <xdr:colOff>428625</xdr:colOff>
      <xdr:row>24</xdr:row>
      <xdr:rowOff>174086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D586B1-BEF2-48B7-405B-2FD9FB5B5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0375" y="171450"/>
          <a:ext cx="4552950" cy="4784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C7AE-B7C2-4737-AAD6-9FA6142267DE}">
  <dimension ref="A1:H21"/>
  <sheetViews>
    <sheetView showGridLines="0" tabSelected="1" workbookViewId="0">
      <selection activeCell="E26" sqref="E26"/>
    </sheetView>
  </sheetViews>
  <sheetFormatPr defaultRowHeight="15" x14ac:dyDescent="0.25"/>
  <cols>
    <col min="1" max="1" width="2.28515625" customWidth="1"/>
    <col min="2" max="2" width="9" bestFit="1" customWidth="1"/>
    <col min="3" max="3" width="32.85546875" bestFit="1" customWidth="1"/>
    <col min="4" max="4" width="12" bestFit="1" customWidth="1"/>
    <col min="5" max="5" width="12.7109375" bestFit="1" customWidth="1"/>
    <col min="6" max="6" width="16.140625" bestFit="1" customWidth="1"/>
    <col min="7" max="8" width="12.28515625" bestFit="1" customWidth="1"/>
  </cols>
  <sheetData>
    <row r="1" spans="1:8" x14ac:dyDescent="0.25">
      <c r="A1" s="12" t="s">
        <v>20</v>
      </c>
    </row>
    <row r="2" spans="1:8" x14ac:dyDescent="0.25">
      <c r="A2" s="12" t="s">
        <v>21</v>
      </c>
    </row>
    <row r="3" spans="1:8" x14ac:dyDescent="0.25">
      <c r="A3" s="12" t="s">
        <v>22</v>
      </c>
    </row>
    <row r="6" spans="1:8" ht="15.75" thickBot="1" x14ac:dyDescent="0.3">
      <c r="A6" t="s">
        <v>23</v>
      </c>
    </row>
    <row r="7" spans="1:8" x14ac:dyDescent="0.25">
      <c r="B7" s="15"/>
      <c r="C7" s="15"/>
      <c r="D7" s="15" t="s">
        <v>26</v>
      </c>
      <c r="E7" s="15" t="s">
        <v>28</v>
      </c>
      <c r="F7" s="15" t="s">
        <v>30</v>
      </c>
      <c r="G7" s="15" t="s">
        <v>32</v>
      </c>
      <c r="H7" s="15" t="s">
        <v>32</v>
      </c>
    </row>
    <row r="8" spans="1:8" ht="15.75" thickBot="1" x14ac:dyDescent="0.3">
      <c r="B8" s="16" t="s">
        <v>24</v>
      </c>
      <c r="C8" s="16" t="s">
        <v>25</v>
      </c>
      <c r="D8" s="16" t="s">
        <v>27</v>
      </c>
      <c r="E8" s="16" t="s">
        <v>29</v>
      </c>
      <c r="F8" s="16" t="s">
        <v>31</v>
      </c>
      <c r="G8" s="16" t="s">
        <v>33</v>
      </c>
      <c r="H8" s="16" t="s">
        <v>34</v>
      </c>
    </row>
    <row r="9" spans="1:8" x14ac:dyDescent="0.25">
      <c r="B9" s="13" t="s">
        <v>39</v>
      </c>
      <c r="C9" s="13" t="s">
        <v>40</v>
      </c>
      <c r="D9" s="13">
        <v>0</v>
      </c>
      <c r="E9" s="13">
        <v>-75.333333333333329</v>
      </c>
      <c r="F9" s="13">
        <v>40</v>
      </c>
      <c r="G9" s="13">
        <v>75.333333333333329</v>
      </c>
      <c r="H9" s="13">
        <v>1E+30</v>
      </c>
    </row>
    <row r="10" spans="1:8" x14ac:dyDescent="0.25">
      <c r="B10" s="13" t="s">
        <v>41</v>
      </c>
      <c r="C10" s="13" t="s">
        <v>42</v>
      </c>
      <c r="D10" s="13">
        <v>155.66666666666669</v>
      </c>
      <c r="E10" s="13">
        <v>0</v>
      </c>
      <c r="F10" s="13">
        <v>62</v>
      </c>
      <c r="G10" s="13">
        <v>52</v>
      </c>
      <c r="H10" s="13">
        <v>29.428571428571427</v>
      </c>
    </row>
    <row r="11" spans="1:8" x14ac:dyDescent="0.25">
      <c r="B11" s="13" t="s">
        <v>43</v>
      </c>
      <c r="C11" s="13" t="s">
        <v>44</v>
      </c>
      <c r="D11" s="13">
        <v>0</v>
      </c>
      <c r="E11" s="13">
        <v>-34.333333333333336</v>
      </c>
      <c r="F11" s="13">
        <v>19</v>
      </c>
      <c r="G11" s="13">
        <v>34.333333333333336</v>
      </c>
      <c r="H11" s="13">
        <v>1E+30</v>
      </c>
    </row>
    <row r="12" spans="1:8" ht="15.75" thickBot="1" x14ac:dyDescent="0.3">
      <c r="B12" s="14" t="s">
        <v>45</v>
      </c>
      <c r="C12" s="14" t="s">
        <v>46</v>
      </c>
      <c r="D12" s="14">
        <v>79.666666666666657</v>
      </c>
      <c r="E12" s="14">
        <v>0</v>
      </c>
      <c r="F12" s="14">
        <v>57</v>
      </c>
      <c r="G12" s="14">
        <v>67.000000000000014</v>
      </c>
      <c r="H12" s="14">
        <v>26</v>
      </c>
    </row>
    <row r="14" spans="1:8" ht="15.75" thickBot="1" x14ac:dyDescent="0.3">
      <c r="A14" t="s">
        <v>35</v>
      </c>
    </row>
    <row r="15" spans="1:8" x14ac:dyDescent="0.25">
      <c r="B15" s="15"/>
      <c r="C15" s="15"/>
      <c r="D15" s="15" t="s">
        <v>26</v>
      </c>
      <c r="E15" s="15" t="s">
        <v>36</v>
      </c>
      <c r="F15" s="15" t="s">
        <v>35</v>
      </c>
      <c r="G15" s="15" t="s">
        <v>32</v>
      </c>
      <c r="H15" s="15" t="s">
        <v>32</v>
      </c>
    </row>
    <row r="16" spans="1:8" ht="15.75" thickBot="1" x14ac:dyDescent="0.3">
      <c r="B16" s="16" t="s">
        <v>24</v>
      </c>
      <c r="C16" s="16" t="s">
        <v>25</v>
      </c>
      <c r="D16" s="16" t="s">
        <v>27</v>
      </c>
      <c r="E16" s="16" t="s">
        <v>37</v>
      </c>
      <c r="F16" s="16" t="s">
        <v>38</v>
      </c>
      <c r="G16" s="16" t="s">
        <v>33</v>
      </c>
      <c r="H16" s="16" t="s">
        <v>34</v>
      </c>
    </row>
    <row r="17" spans="2:8" x14ac:dyDescent="0.25">
      <c r="B17" s="13" t="s">
        <v>47</v>
      </c>
      <c r="C17" s="13" t="s">
        <v>48</v>
      </c>
      <c r="D17" s="13">
        <v>630</v>
      </c>
      <c r="E17" s="13">
        <v>8.6666666666666661</v>
      </c>
      <c r="F17" s="13">
        <v>630</v>
      </c>
      <c r="G17" s="13">
        <v>670.00000000000011</v>
      </c>
      <c r="H17" s="13">
        <v>238.99999999999997</v>
      </c>
    </row>
    <row r="18" spans="2:8" x14ac:dyDescent="0.25">
      <c r="B18" s="13" t="s">
        <v>49</v>
      </c>
      <c r="C18" s="13" t="s">
        <v>50</v>
      </c>
      <c r="D18" s="13">
        <v>391</v>
      </c>
      <c r="E18" s="13">
        <v>22.333333333333336</v>
      </c>
      <c r="F18" s="13">
        <v>391</v>
      </c>
      <c r="G18" s="13">
        <v>134</v>
      </c>
      <c r="H18" s="13">
        <v>233.50000000000003</v>
      </c>
    </row>
    <row r="19" spans="2:8" x14ac:dyDescent="0.25">
      <c r="B19" s="13" t="s">
        <v>51</v>
      </c>
      <c r="C19" s="13" t="s">
        <v>52</v>
      </c>
      <c r="D19" s="13">
        <v>937.66666666666674</v>
      </c>
      <c r="E19" s="13">
        <v>0</v>
      </c>
      <c r="F19" s="13">
        <v>1349</v>
      </c>
      <c r="G19" s="13">
        <v>1E+30</v>
      </c>
      <c r="H19" s="13">
        <v>411.33333333333331</v>
      </c>
    </row>
    <row r="20" spans="2:8" x14ac:dyDescent="0.25">
      <c r="B20" s="13" t="s">
        <v>53</v>
      </c>
      <c r="C20" s="13" t="s">
        <v>54</v>
      </c>
      <c r="D20" s="13">
        <v>470.66666666666669</v>
      </c>
      <c r="E20" s="13">
        <v>0</v>
      </c>
      <c r="F20" s="13">
        <v>811</v>
      </c>
      <c r="G20" s="13">
        <v>1E+30</v>
      </c>
      <c r="H20" s="13">
        <v>340.33333333333337</v>
      </c>
    </row>
    <row r="21" spans="2:8" ht="15.75" thickBot="1" x14ac:dyDescent="0.3">
      <c r="B21" s="14" t="s">
        <v>55</v>
      </c>
      <c r="C21" s="14" t="s">
        <v>56</v>
      </c>
      <c r="D21" s="14">
        <v>861.66666666666674</v>
      </c>
      <c r="E21" s="14">
        <v>0</v>
      </c>
      <c r="F21" s="14">
        <v>1085</v>
      </c>
      <c r="G21" s="14">
        <v>1E+30</v>
      </c>
      <c r="H21" s="14">
        <v>223.33333333333334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workbookViewId="0">
      <selection activeCell="B24" sqref="B24"/>
    </sheetView>
  </sheetViews>
  <sheetFormatPr defaultRowHeight="15" x14ac:dyDescent="0.25"/>
  <cols>
    <col min="1" max="1" width="2" customWidth="1"/>
    <col min="2" max="2" width="24" customWidth="1"/>
    <col min="3" max="6" width="11" customWidth="1"/>
    <col min="7" max="7" width="12" customWidth="1"/>
    <col min="8" max="8" width="8" customWidth="1"/>
    <col min="9" max="9" width="10" customWidth="1"/>
  </cols>
  <sheetData>
    <row r="2" spans="2:9" ht="31.5" customHeight="1" x14ac:dyDescent="0.25">
      <c r="B2" s="20" t="s">
        <v>0</v>
      </c>
      <c r="C2" s="21"/>
      <c r="D2" s="21"/>
      <c r="E2" s="21"/>
      <c r="F2" s="21"/>
      <c r="G2" s="21"/>
      <c r="H2" s="21"/>
    </row>
    <row r="3" spans="2:9" x14ac:dyDescent="0.25">
      <c r="B3" s="11"/>
    </row>
    <row r="5" spans="2:9" x14ac:dyDescent="0.2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2:9" x14ac:dyDescent="0.25">
      <c r="B6" s="3" t="s">
        <v>6</v>
      </c>
      <c r="C6" s="4">
        <v>40</v>
      </c>
      <c r="D6" s="4">
        <v>62</v>
      </c>
      <c r="E6" s="4">
        <v>19</v>
      </c>
      <c r="F6" s="4">
        <v>57</v>
      </c>
    </row>
    <row r="7" spans="2:9" x14ac:dyDescent="0.25">
      <c r="B7" s="5" t="s">
        <v>7</v>
      </c>
      <c r="C7" s="6">
        <v>0</v>
      </c>
      <c r="D7" s="6">
        <v>155.66666666666669</v>
      </c>
      <c r="E7" s="6">
        <v>0</v>
      </c>
      <c r="F7" s="6">
        <v>79.666666666666657</v>
      </c>
    </row>
    <row r="9" spans="2:9" x14ac:dyDescent="0.25">
      <c r="B9" s="5" t="s">
        <v>8</v>
      </c>
      <c r="C9" s="7">
        <f>SUMPRODUCT(C6:F6,C7:F7)</f>
        <v>14192.333333333332</v>
      </c>
    </row>
    <row r="12" spans="2:9" x14ac:dyDescent="0.25">
      <c r="B12" s="19" t="s">
        <v>9</v>
      </c>
      <c r="C12" s="18"/>
      <c r="D12" s="18"/>
      <c r="E12" s="18"/>
      <c r="F12" s="18"/>
      <c r="G12" s="18"/>
      <c r="H12" s="18"/>
    </row>
    <row r="13" spans="2:9" x14ac:dyDescent="0.25">
      <c r="B13" s="8" t="s">
        <v>10</v>
      </c>
      <c r="C13" s="8" t="s">
        <v>2</v>
      </c>
      <c r="D13" s="8" t="s">
        <v>3</v>
      </c>
      <c r="E13" s="8" t="s">
        <v>4</v>
      </c>
      <c r="F13" s="8" t="s">
        <v>5</v>
      </c>
      <c r="G13" s="8" t="s">
        <v>11</v>
      </c>
      <c r="H13" s="8" t="s">
        <v>12</v>
      </c>
      <c r="I13" s="8" t="s">
        <v>13</v>
      </c>
    </row>
    <row r="14" spans="2:9" x14ac:dyDescent="0.25">
      <c r="B14" s="9" t="s">
        <v>14</v>
      </c>
      <c r="C14" s="4">
        <v>3</v>
      </c>
      <c r="D14" s="4">
        <v>2</v>
      </c>
      <c r="E14" s="4">
        <v>1</v>
      </c>
      <c r="F14" s="4">
        <v>4</v>
      </c>
      <c r="G14" s="10">
        <f>SUMPRODUCT(C14:F14,$C$7:$F$7)</f>
        <v>630</v>
      </c>
      <c r="H14" s="10" t="s">
        <v>15</v>
      </c>
      <c r="I14" s="4">
        <v>630</v>
      </c>
    </row>
    <row r="15" spans="2:9" x14ac:dyDescent="0.25">
      <c r="B15" s="9" t="s">
        <v>16</v>
      </c>
      <c r="C15" s="4">
        <v>4</v>
      </c>
      <c r="D15" s="4">
        <v>2</v>
      </c>
      <c r="E15" s="4">
        <v>2</v>
      </c>
      <c r="F15" s="4">
        <v>1</v>
      </c>
      <c r="G15" s="10">
        <f>SUMPRODUCT(C15:F15,$C$7:$F$7)</f>
        <v>391</v>
      </c>
      <c r="H15" s="10" t="s">
        <v>15</v>
      </c>
      <c r="I15" s="4">
        <v>391</v>
      </c>
    </row>
    <row r="16" spans="2:9" x14ac:dyDescent="0.25">
      <c r="B16" s="9" t="s">
        <v>17</v>
      </c>
      <c r="C16" s="4">
        <v>3</v>
      </c>
      <c r="D16" s="4">
        <v>5</v>
      </c>
      <c r="E16" s="4">
        <v>1</v>
      </c>
      <c r="F16" s="4">
        <v>2</v>
      </c>
      <c r="G16" s="10">
        <f>SUMPRODUCT(C16:F16,$C$7:$F$7)</f>
        <v>937.66666666666674</v>
      </c>
      <c r="H16" s="10" t="s">
        <v>15</v>
      </c>
      <c r="I16" s="4">
        <v>1349</v>
      </c>
    </row>
    <row r="17" spans="2:9" x14ac:dyDescent="0.25">
      <c r="B17" s="9" t="s">
        <v>18</v>
      </c>
      <c r="C17" s="4">
        <v>3</v>
      </c>
      <c r="D17" s="4">
        <v>2</v>
      </c>
      <c r="E17" s="4">
        <v>0</v>
      </c>
      <c r="F17" s="4">
        <v>2</v>
      </c>
      <c r="G17" s="10">
        <f>SUMPRODUCT(C17:F17,$C$7:$F$7)</f>
        <v>470.66666666666669</v>
      </c>
      <c r="H17" s="10" t="s">
        <v>15</v>
      </c>
      <c r="I17" s="4">
        <v>811</v>
      </c>
    </row>
    <row r="18" spans="2:9" x14ac:dyDescent="0.25">
      <c r="B18" s="9" t="s">
        <v>19</v>
      </c>
      <c r="C18" s="4">
        <v>6</v>
      </c>
      <c r="D18" s="4">
        <v>4</v>
      </c>
      <c r="E18" s="4">
        <v>6</v>
      </c>
      <c r="F18" s="4">
        <v>3</v>
      </c>
      <c r="G18" s="10">
        <f>SUMPRODUCT(C18:F18,$C$7:$F$7)</f>
        <v>861.66666666666674</v>
      </c>
      <c r="H18" s="10" t="s">
        <v>15</v>
      </c>
      <c r="I18" s="4">
        <v>1085</v>
      </c>
    </row>
    <row r="20" spans="2:9" x14ac:dyDescent="0.25">
      <c r="B20" s="17"/>
      <c r="C20" s="18"/>
      <c r="D20" s="18"/>
      <c r="E20" s="18"/>
      <c r="F20" s="18"/>
      <c r="G20" s="18"/>
      <c r="H20" s="18"/>
    </row>
    <row r="22" spans="2:9" x14ac:dyDescent="0.25">
      <c r="B22" s="17"/>
      <c r="C22" s="18"/>
      <c r="D22" s="18"/>
      <c r="E22" s="18"/>
      <c r="F22" s="18"/>
      <c r="G22" s="18"/>
      <c r="H22" s="18"/>
    </row>
  </sheetData>
  <mergeCells count="4">
    <mergeCell ref="B22:H22"/>
    <mergeCell ref="B12:H12"/>
    <mergeCell ref="B2:H2"/>
    <mergeCell ref="B20:H20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Модель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Козак Наталія Володимирівна</cp:lastModifiedBy>
  <dcterms:created xsi:type="dcterms:W3CDTF">2026-09-29T13:19:28Z</dcterms:created>
  <dcterms:modified xsi:type="dcterms:W3CDTF">2026-10-01T08:28:19Z</dcterms:modified>
</cp:coreProperties>
</file>